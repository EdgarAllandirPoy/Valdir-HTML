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94" codeName="{3D1A710C-6663-3D7B-7F91-EC182F24A4B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LAB\Desktop\VALDIR\"/>
    </mc:Choice>
  </mc:AlternateContent>
  <xr:revisionPtr revIDLastSave="0" documentId="13_ncr:1_{4A00FA9C-CCAF-4A5D-A085-93B3B4381672}" xr6:coauthVersionLast="36" xr6:coauthVersionMax="36" xr10:uidLastSave="{00000000-0000-0000-0000-000000000000}"/>
  <bookViews>
    <workbookView xWindow="0" yWindow="0" windowWidth="19440" windowHeight="8340" activeTab="1" xr2:uid="{00000000-000D-0000-FFFF-FFFF00000000}"/>
  </bookViews>
  <sheets>
    <sheet name="Planilha1" sheetId="2" r:id="rId1"/>
    <sheet name="Plan1" sheetId="1" r:id="rId2"/>
  </sheets>
  <definedNames>
    <definedName name="_xlnm._FilterDatabase" localSheetId="1" hidden="1">Plan1!$A$3:$H$14</definedName>
    <definedName name="_xlnm.Extract" localSheetId="1">Plan1!$J$14:$Q$14</definedName>
    <definedName name="_xlnm.Criteria" localSheetId="1">Plan1!$J$3:$Q$4</definedName>
    <definedName name="NativeTimeline_data">#N/A</definedName>
    <definedName name="SegmentaçãodeDados_produto">#N/A</definedName>
  </definedNames>
  <calcPr calcId="191029"/>
  <pivotCaches>
    <pivotCache cacheId="11" r:id="rId3"/>
    <pivotCache cacheId="18" r:id="rId4"/>
  </pivotCaches>
  <extLst>
    <ext xmlns:x14="http://schemas.microsoft.com/office/spreadsheetml/2009/9/main" uri="{BBE1A952-AA13-448e-AADC-164F8A28A991}">
      <x14:slicerCaches>
        <x14:slicerCache r:id="rId5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6"/>
      </x15:timelineCacheRefs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6" i="1" l="1"/>
  <c r="B1048543" i="1"/>
  <c r="B1048542" i="1"/>
  <c r="G5" i="1"/>
  <c r="H5" i="1" s="1"/>
  <c r="G6" i="1"/>
  <c r="G7" i="1"/>
  <c r="H7" i="1" s="1"/>
  <c r="G8" i="1"/>
  <c r="H8" i="1" s="1"/>
  <c r="G9" i="1"/>
  <c r="H9" i="1" s="1"/>
  <c r="G10" i="1"/>
  <c r="H10" i="1" s="1"/>
  <c r="G11" i="1"/>
  <c r="H11" i="1" s="1"/>
  <c r="G12" i="1"/>
  <c r="H12" i="1" s="1"/>
  <c r="G13" i="1"/>
  <c r="H13" i="1" s="1"/>
  <c r="G14" i="1"/>
  <c r="H14" i="1" s="1"/>
  <c r="G4" i="1"/>
  <c r="H4" i="1" s="1"/>
</calcChain>
</file>

<file path=xl/sharedStrings.xml><?xml version="1.0" encoding="utf-8"?>
<sst xmlns="http://schemas.openxmlformats.org/spreadsheetml/2006/main" count="88" uniqueCount="33">
  <si>
    <t>data</t>
  </si>
  <si>
    <t>Nome</t>
  </si>
  <si>
    <t>depto</t>
  </si>
  <si>
    <t>Linha de montagem</t>
  </si>
  <si>
    <t>quantidade</t>
  </si>
  <si>
    <t>reprovadas</t>
  </si>
  <si>
    <t>Custo</t>
  </si>
  <si>
    <t>produto</t>
  </si>
  <si>
    <t>Custo unitário</t>
  </si>
  <si>
    <t>joao</t>
  </si>
  <si>
    <t>azul</t>
  </si>
  <si>
    <t>amarelo</t>
  </si>
  <si>
    <t>verde</t>
  </si>
  <si>
    <t>vermelho</t>
  </si>
  <si>
    <t>maria</t>
  </si>
  <si>
    <t>alfredo</t>
  </si>
  <si>
    <t>carlos</t>
  </si>
  <si>
    <t>fogao</t>
  </si>
  <si>
    <t>microondas</t>
  </si>
  <si>
    <t>geladeira</t>
  </si>
  <si>
    <t>Valor venda</t>
  </si>
  <si>
    <t>Lucratividade</t>
  </si>
  <si>
    <t>Rótulos de Linha</t>
  </si>
  <si>
    <t>Total Geral</t>
  </si>
  <si>
    <t>Soma de quantidade</t>
  </si>
  <si>
    <t>Soma de reprovadas</t>
  </si>
  <si>
    <t>Critérios</t>
  </si>
  <si>
    <t>Resultados</t>
  </si>
  <si>
    <t>.</t>
  </si>
  <si>
    <t>+</t>
  </si>
  <si>
    <t>.+./</t>
  </si>
  <si>
    <t>C</t>
  </si>
  <si>
    <t>Q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</si>
</sst>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R$&quot;* #,##0.00_);_(&quot;R$&quot;* \(#,##0.00\);_(&quot;R$&quot;* &quot;-&quot;??_);_(@_)"/>
    <numFmt numFmtId="164" formatCode="_-&quot;R$&quot;\ * #,##0.0_-;\-&quot;R$&quot;\ * #,##0.0_-;_-&quot;R$&quot;\ * &quot;-&quot;??_-;_-@_-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3">
    <xf numFmtId="0" fontId="0" fillId="0" borderId="0" xfId="0"/>
    <xf numFmtId="44" fontId="0" fillId="0" borderId="0" xfId="1" applyFont="1"/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0" fillId="0" borderId="0" xfId="0" applyAlignment="1"/>
    <xf numFmtId="0" fontId="2" fillId="0" borderId="2" xfId="0" applyFont="1" applyBorder="1" applyAlignment="1">
      <alignment vertical="center"/>
    </xf>
    <xf numFmtId="0" fontId="2" fillId="0" borderId="3" xfId="0" applyFont="1" applyBorder="1" applyAlignment="1">
      <alignment vertical="center"/>
    </xf>
    <xf numFmtId="0" fontId="2" fillId="0" borderId="4" xfId="0" applyFont="1" applyBorder="1" applyAlignment="1">
      <alignment vertical="center"/>
    </xf>
    <xf numFmtId="44" fontId="0" fillId="0" borderId="1" xfId="0" applyNumberFormat="1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</cellXfs>
  <cellStyles count="2">
    <cellStyle name="Moeda" xfId="1" builtinId="4"/>
    <cellStyle name="Normal" xfId="0" builtinId="0"/>
  </cellStyles>
  <dxfs count="3"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pivotCacheDefinition" Target="pivotCache/pivotCacheDefinition1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1/relationships/timelineCache" Target="timelineCaches/timelineCache1.xml"/><Relationship Id="rId11" Type="http://schemas.microsoft.com/office/2006/relationships/vbaProject" Target="vbaProject.bin"/><Relationship Id="rId5" Type="http://schemas.microsoft.com/office/2007/relationships/slicerCache" Target="slicerCaches/slicerCache1.xml"/><Relationship Id="rId10" Type="http://schemas.openxmlformats.org/officeDocument/2006/relationships/calcChain" Target="calcChain.xml"/><Relationship Id="rId4" Type="http://schemas.openxmlformats.org/officeDocument/2006/relationships/pivotCacheDefinition" Target="pivotCache/pivotCacheDefinition2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[produção do valdir.xlsm]Planilha1!Tabela dinâmica1</c:name>
    <c:fmtId val="4"/>
  </c:pivotSource>
  <c:chart>
    <c:autoTitleDeleted val="0"/>
    <c:pivotFmts>
      <c:pivotFmt>
        <c:idx val="0"/>
      </c:pivotFmt>
    </c:pivotFmts>
    <c:plotArea>
      <c:layout>
        <c:manualLayout>
          <c:layoutTarget val="inner"/>
          <c:xMode val="edge"/>
          <c:yMode val="edge"/>
          <c:x val="4.4022818727348777E-2"/>
          <c:y val="0.26328484981044037"/>
          <c:w val="0.83746254567262313"/>
          <c:h val="0.5377438757655292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Planilha1!$B$3</c:f>
              <c:strCache>
                <c:ptCount val="1"/>
                <c:pt idx="0">
                  <c:v>Soma de quantidade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Planilha1!$A$4:$A$5</c:f>
              <c:strCache>
                <c:ptCount val="1"/>
                <c:pt idx="0">
                  <c:v>microondas</c:v>
                </c:pt>
              </c:strCache>
            </c:strRef>
          </c:cat>
          <c:val>
            <c:numRef>
              <c:f>Planilha1!$B$4:$B$5</c:f>
              <c:numCache>
                <c:formatCode>General</c:formatCode>
                <c:ptCount val="1"/>
                <c:pt idx="0">
                  <c:v>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250-4527-85CF-093ADAA1B7E9}"/>
            </c:ext>
          </c:extLst>
        </c:ser>
        <c:ser>
          <c:idx val="1"/>
          <c:order val="1"/>
          <c:tx>
            <c:strRef>
              <c:f>Planilha1!$C$3</c:f>
              <c:strCache>
                <c:ptCount val="1"/>
                <c:pt idx="0">
                  <c:v>Soma de reprovadas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Planilha1!$A$4:$A$5</c:f>
              <c:strCache>
                <c:ptCount val="1"/>
                <c:pt idx="0">
                  <c:v>microondas</c:v>
                </c:pt>
              </c:strCache>
            </c:strRef>
          </c:cat>
          <c:val>
            <c:numRef>
              <c:f>Planilha1!$C$4:$C$5</c:f>
              <c:numCache>
                <c:formatCode>General</c:formatCode>
                <c:ptCount val="1"/>
                <c:pt idx="0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250-4527-85CF-093ADAA1B7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451988800"/>
        <c:axId val="451985848"/>
      </c:barChart>
      <c:catAx>
        <c:axId val="4519888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51985848"/>
        <c:crosses val="autoZero"/>
        <c:auto val="1"/>
        <c:lblAlgn val="ctr"/>
        <c:lblOffset val="100"/>
        <c:noMultiLvlLbl val="0"/>
      </c:catAx>
      <c:valAx>
        <c:axId val="451985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519888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[produção do valdir.xlsm]Planilha1!Tabela dinâmica5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25400"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 w="25400"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 w="25400">
            <a:noFill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0.35721878763415343"/>
          <c:y val="0.20709485165625263"/>
          <c:w val="0.36050892648319954"/>
          <c:h val="0.6988748476582903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Planilha1!$B$9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invertIfNegative val="0"/>
          <c:cat>
            <c:strRef>
              <c:f>Planilha1!$A$10:$A$14</c:f>
              <c:strCache>
                <c:ptCount val="4"/>
                <c:pt idx="0">
                  <c:v>alfredo</c:v>
                </c:pt>
                <c:pt idx="1">
                  <c:v>carlos</c:v>
                </c:pt>
                <c:pt idx="2">
                  <c:v>joao</c:v>
                </c:pt>
                <c:pt idx="3">
                  <c:v>maria</c:v>
                </c:pt>
              </c:strCache>
            </c:strRef>
          </c:cat>
          <c:val>
            <c:numRef>
              <c:f>Planilha1!$B$10:$B$14</c:f>
              <c:numCache>
                <c:formatCode>General</c:formatCode>
                <c:ptCount val="4"/>
                <c:pt idx="0">
                  <c:v>10</c:v>
                </c:pt>
                <c:pt idx="1">
                  <c:v>22</c:v>
                </c:pt>
                <c:pt idx="2">
                  <c:v>17</c:v>
                </c:pt>
                <c:pt idx="3">
                  <c:v>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1FB-4AAA-A525-EAC0A92B6B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69919960"/>
        <c:axId val="569920288"/>
      </c:barChart>
      <c:catAx>
        <c:axId val="5699199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69920288"/>
        <c:crosses val="autoZero"/>
        <c:auto val="1"/>
        <c:lblAlgn val="ctr"/>
        <c:lblOffset val="100"/>
        <c:noMultiLvlLbl val="0"/>
      </c:catAx>
      <c:valAx>
        <c:axId val="569920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699199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219075</xdr:colOff>
      <xdr:row>1</xdr:row>
      <xdr:rowOff>95250</xdr:rowOff>
    </xdr:from>
    <xdr:to>
      <xdr:col>12</xdr:col>
      <xdr:colOff>266700</xdr:colOff>
      <xdr:row>11</xdr:row>
      <xdr:rowOff>133350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53E6887E-EA66-4C72-A76C-B3089C93F8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161925</xdr:colOff>
      <xdr:row>11</xdr:row>
      <xdr:rowOff>138111</xdr:rowOff>
    </xdr:from>
    <xdr:to>
      <xdr:col>12</xdr:col>
      <xdr:colOff>266700</xdr:colOff>
      <xdr:row>24</xdr:row>
      <xdr:rowOff>142875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A56FAA6-64ED-4B65-AD2A-1E35DD59877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263387</xdr:colOff>
      <xdr:row>16</xdr:row>
      <xdr:rowOff>13252</xdr:rowOff>
    </xdr:from>
    <xdr:to>
      <xdr:col>1</xdr:col>
      <xdr:colOff>891209</xdr:colOff>
      <xdr:row>29</xdr:row>
      <xdr:rowOff>60877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9" name="produto">
              <a:extLst>
                <a:ext uri="{FF2B5EF4-FFF2-40B4-BE49-F238E27FC236}">
                  <a16:creationId xmlns:a16="http://schemas.microsoft.com/office/drawing/2014/main" id="{68EB4055-2C0A-4C84-B7E5-93FE4511D3A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duto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63387" y="3061252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12</xdr:col>
      <xdr:colOff>624509</xdr:colOff>
      <xdr:row>2</xdr:row>
      <xdr:rowOff>128381</xdr:rowOff>
    </xdr:from>
    <xdr:to>
      <xdr:col>16</xdr:col>
      <xdr:colOff>636933</xdr:colOff>
      <xdr:row>9</xdr:row>
      <xdr:rowOff>166481</xdr:rowOff>
    </xdr:to>
    <mc:AlternateContent xmlns:mc="http://schemas.openxmlformats.org/markup-compatibility/2006">
      <mc:Choice xmlns:tsle="http://schemas.microsoft.com/office/drawing/2012/timeslicer" Requires="tsle">
        <xdr:graphicFrame macro="">
          <xdr:nvGraphicFramePr>
            <xdr:cNvPr id="10" name="data">
              <a:extLst>
                <a:ext uri="{FF2B5EF4-FFF2-40B4-BE49-F238E27FC236}">
                  <a16:creationId xmlns:a16="http://schemas.microsoft.com/office/drawing/2014/main" id="{873A4601-AA21-4D4E-BEE1-14786988374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xmlns:tsle="http://schemas.microsoft.com/office/drawing/2012/timeslicer" name="data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097618" y="509381"/>
              <a:ext cx="33337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Linha do tempo: Funciona em Excel 2013 ou superior. Não mover ou redimensionar.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AB" refreshedDate="44998.59529571759" createdVersion="6" refreshedVersion="6" minRefreshableVersion="3" recordCount="11" xr:uid="{4EC746E4-F294-4171-95C4-74AFBE2F1F11}">
  <cacheSource type="worksheet">
    <worksheetSource ref="A11:B14" sheet="Plan1"/>
  </cacheSource>
  <cacheFields count="8">
    <cacheField name="Nome" numFmtId="0">
      <sharedItems count="4">
        <s v="maria"/>
        <s v="alfredo"/>
        <s v="joao"/>
        <s v="carlos"/>
      </sharedItems>
    </cacheField>
    <cacheField name="data" numFmtId="14">
      <sharedItems containsSemiMixedTypes="0" containsNonDate="0" containsDate="1" containsString="0" minDate="2015-02-10T00:00:00" maxDate="2015-02-21T00:00:00" count="11">
        <d v="2015-02-20T00:00:00"/>
        <d v="2015-02-19T00:00:00"/>
        <d v="2015-02-18T00:00:00"/>
        <d v="2015-02-17T00:00:00"/>
        <d v="2015-02-16T00:00:00"/>
        <d v="2015-02-15T00:00:00"/>
        <d v="2015-02-14T00:00:00"/>
        <d v="2015-02-13T00:00:00"/>
        <d v="2015-02-12T00:00:00"/>
        <d v="2015-02-11T00:00:00"/>
        <d v="2015-02-10T00:00:00"/>
      </sharedItems>
    </cacheField>
    <cacheField name="depto" numFmtId="0">
      <sharedItems count="4">
        <s v="verde"/>
        <s v="vermelho"/>
        <s v="amarelo"/>
        <s v="azul"/>
      </sharedItems>
    </cacheField>
    <cacheField name="produto" numFmtId="0">
      <sharedItems count="3">
        <s v="geladeira"/>
        <s v="microondas"/>
        <s v="fogao"/>
      </sharedItems>
    </cacheField>
    <cacheField name="quantidade" numFmtId="0">
      <sharedItems containsSemiMixedTypes="0" containsString="0" containsNumber="1" containsInteger="1" minValue="1" maxValue="12" count="7">
        <n v="6"/>
        <n v="3"/>
        <n v="12"/>
        <n v="10"/>
        <n v="1"/>
        <n v="5"/>
        <n v="8"/>
      </sharedItems>
    </cacheField>
    <cacheField name="reprovadas" numFmtId="0">
      <sharedItems containsSemiMixedTypes="0" containsString="0" containsNumber="1" containsInteger="1" minValue="0" maxValue="5"/>
    </cacheField>
    <cacheField name="Custo" numFmtId="44">
      <sharedItems containsSemiMixedTypes="0" containsString="0" containsNumber="1" containsInteger="1" minValue="10" maxValue="120" count="7">
        <n v="60"/>
        <n v="30"/>
        <n v="120"/>
        <n v="100"/>
        <n v="10"/>
        <n v="50"/>
        <n v="80"/>
      </sharedItems>
    </cacheField>
    <cacheField name="Lucratividade" numFmtId="0">
      <sharedItems containsSemiMixedTypes="0" containsString="0" containsNumber="1" containsInteger="1" minValue="-45" maxValue="40" count="8">
        <n v="30"/>
        <n v="-45"/>
        <n v="15"/>
        <n v="0"/>
        <n v="5"/>
        <n v="-15"/>
        <n v="10"/>
        <n v="40"/>
      </sharedItems>
    </cacheField>
  </cacheFields>
  <extLst>
    <ext xmlns:x14="http://schemas.microsoft.com/office/spreadsheetml/2009/9/main" uri="{725AE2AE-9491-48be-B2B4-4EB974FC3084}">
      <x14:pivotCacheDefinition pivotCacheId="1643154965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AB" refreshedDate="44998.628434027778" createdVersion="6" refreshedVersion="6" minRefreshableVersion="3" recordCount="12" xr:uid="{9FFD4B51-1987-4DC8-8CC4-E48954E307EE}">
  <cacheSource type="worksheet">
    <worksheetSource ref="A3:H15" sheet="Plan1"/>
  </cacheSource>
  <cacheFields count="8">
    <cacheField name="Nome" numFmtId="0">
      <sharedItems containsBlank="1" count="5">
        <s v="maria"/>
        <s v="alfredo"/>
        <s v="joao"/>
        <s v="carlos"/>
        <m/>
      </sharedItems>
    </cacheField>
    <cacheField name="data" numFmtId="0">
      <sharedItems containsNonDate="0" containsDate="1" containsString="0" containsBlank="1" minDate="2015-02-10T00:00:00" maxDate="2015-02-21T00:00:00" count="12">
        <d v="2015-02-20T00:00:00"/>
        <d v="2015-02-19T00:00:00"/>
        <d v="2015-02-18T00:00:00"/>
        <d v="2015-02-17T00:00:00"/>
        <d v="2015-02-16T00:00:00"/>
        <d v="2015-02-15T00:00:00"/>
        <d v="2015-02-14T00:00:00"/>
        <d v="2015-02-13T00:00:00"/>
        <d v="2015-02-12T00:00:00"/>
        <d v="2015-02-11T00:00:00"/>
        <d v="2015-02-10T00:00:00"/>
        <m/>
      </sharedItems>
    </cacheField>
    <cacheField name="depto" numFmtId="0">
      <sharedItems containsBlank="1"/>
    </cacheField>
    <cacheField name="produto" numFmtId="0">
      <sharedItems containsBlank="1" count="4">
        <s v="geladeira"/>
        <s v="microondas"/>
        <s v="fogao"/>
        <m/>
      </sharedItems>
    </cacheField>
    <cacheField name="quantidade" numFmtId="0">
      <sharedItems containsString="0" containsBlank="1" containsNumber="1" containsInteger="1" minValue="1" maxValue="12"/>
    </cacheField>
    <cacheField name="reprovadas" numFmtId="0">
      <sharedItems containsString="0" containsBlank="1" containsNumber="1" containsInteger="1" minValue="0" maxValue="5"/>
    </cacheField>
    <cacheField name="Custo" numFmtId="0">
      <sharedItems containsString="0" containsBlank="1" containsNumber="1" containsInteger="1" minValue="10" maxValue="120"/>
    </cacheField>
    <cacheField name="Lucratividade" numFmtId="0">
      <sharedItems containsString="0" containsBlank="1" containsNumber="1" containsInteger="1" minValue="-45" maxValue="40"/>
    </cacheField>
  </cacheFields>
  <extLst>
    <ext xmlns:x14="http://schemas.microsoft.com/office/spreadsheetml/2009/9/main" uri="{725AE2AE-9491-48be-B2B4-4EB974FC3084}">
      <x14:pivotCacheDefinition pivotCacheId="517482516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">
  <r>
    <x v="0"/>
    <x v="0"/>
    <x v="0"/>
    <x v="0"/>
    <x v="0"/>
    <n v="0"/>
    <x v="0"/>
    <x v="0"/>
  </r>
  <r>
    <x v="1"/>
    <x v="1"/>
    <x v="0"/>
    <x v="1"/>
    <x v="0"/>
    <n v="5"/>
    <x v="0"/>
    <x v="1"/>
  </r>
  <r>
    <x v="2"/>
    <x v="2"/>
    <x v="1"/>
    <x v="1"/>
    <x v="1"/>
    <n v="0"/>
    <x v="1"/>
    <x v="2"/>
  </r>
  <r>
    <x v="3"/>
    <x v="3"/>
    <x v="0"/>
    <x v="0"/>
    <x v="2"/>
    <n v="4"/>
    <x v="2"/>
    <x v="3"/>
  </r>
  <r>
    <x v="3"/>
    <x v="4"/>
    <x v="2"/>
    <x v="1"/>
    <x v="3"/>
    <n v="3"/>
    <x v="3"/>
    <x v="4"/>
  </r>
  <r>
    <x v="1"/>
    <x v="5"/>
    <x v="1"/>
    <x v="0"/>
    <x v="4"/>
    <n v="0"/>
    <x v="4"/>
    <x v="4"/>
  </r>
  <r>
    <x v="1"/>
    <x v="6"/>
    <x v="3"/>
    <x v="2"/>
    <x v="1"/>
    <n v="2"/>
    <x v="1"/>
    <x v="5"/>
  </r>
  <r>
    <x v="0"/>
    <x v="7"/>
    <x v="1"/>
    <x v="0"/>
    <x v="5"/>
    <n v="1"/>
    <x v="5"/>
    <x v="6"/>
  </r>
  <r>
    <x v="0"/>
    <x v="8"/>
    <x v="0"/>
    <x v="0"/>
    <x v="5"/>
    <n v="1"/>
    <x v="5"/>
    <x v="6"/>
  </r>
  <r>
    <x v="2"/>
    <x v="9"/>
    <x v="2"/>
    <x v="1"/>
    <x v="6"/>
    <n v="0"/>
    <x v="6"/>
    <x v="7"/>
  </r>
  <r>
    <x v="2"/>
    <x v="10"/>
    <x v="3"/>
    <x v="2"/>
    <x v="0"/>
    <n v="1"/>
    <x v="0"/>
    <x v="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">
  <r>
    <x v="0"/>
    <x v="0"/>
    <s v="verde"/>
    <x v="0"/>
    <n v="6"/>
    <n v="0"/>
    <n v="60"/>
    <n v="30"/>
  </r>
  <r>
    <x v="1"/>
    <x v="1"/>
    <s v="verde"/>
    <x v="1"/>
    <n v="6"/>
    <n v="5"/>
    <n v="60"/>
    <n v="-45"/>
  </r>
  <r>
    <x v="2"/>
    <x v="2"/>
    <s v="vermelho"/>
    <x v="1"/>
    <n v="3"/>
    <n v="0"/>
    <n v="30"/>
    <n v="15"/>
  </r>
  <r>
    <x v="3"/>
    <x v="3"/>
    <s v="verde"/>
    <x v="0"/>
    <n v="12"/>
    <n v="4"/>
    <n v="120"/>
    <n v="0"/>
  </r>
  <r>
    <x v="3"/>
    <x v="4"/>
    <s v="amarelo"/>
    <x v="1"/>
    <n v="10"/>
    <n v="3"/>
    <n v="100"/>
    <n v="5"/>
  </r>
  <r>
    <x v="1"/>
    <x v="5"/>
    <s v="vermelho"/>
    <x v="0"/>
    <n v="1"/>
    <n v="0"/>
    <n v="10"/>
    <n v="5"/>
  </r>
  <r>
    <x v="1"/>
    <x v="6"/>
    <s v="azul"/>
    <x v="2"/>
    <n v="3"/>
    <n v="2"/>
    <n v="30"/>
    <n v="-15"/>
  </r>
  <r>
    <x v="0"/>
    <x v="7"/>
    <s v="vermelho"/>
    <x v="0"/>
    <n v="5"/>
    <n v="1"/>
    <n v="50"/>
    <n v="10"/>
  </r>
  <r>
    <x v="0"/>
    <x v="8"/>
    <s v="verde"/>
    <x v="0"/>
    <n v="5"/>
    <n v="1"/>
    <n v="50"/>
    <n v="10"/>
  </r>
  <r>
    <x v="2"/>
    <x v="9"/>
    <s v="amarelo"/>
    <x v="1"/>
    <n v="8"/>
    <n v="0"/>
    <n v="80"/>
    <n v="40"/>
  </r>
  <r>
    <x v="2"/>
    <x v="10"/>
    <s v="azul"/>
    <x v="2"/>
    <n v="6"/>
    <n v="1"/>
    <n v="60"/>
    <n v="15"/>
  </r>
  <r>
    <x v="4"/>
    <x v="11"/>
    <m/>
    <x v="3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4C103C3-4D61-452E-85E4-5D57A9546400}" name="Tabela dinâmica5" cacheId="18" applyNumberFormats="0" applyBorderFormats="0" applyFontFormats="0" applyPatternFormats="0" applyAlignmentFormats="0" applyWidthHeightFormats="1" dataCaption="Valores" updatedVersion="6" minRefreshableVersion="5" useAutoFormatting="1" itemPrintTitles="1" createdVersion="6" indent="0" outline="1" outlineData="1" multipleFieldFilters="0" chartFormat="1">
  <location ref="A9:B14" firstHeaderRow="1" firstDataRow="1" firstDataCol="1"/>
  <pivotFields count="8">
    <pivotField axis="axisRow" showAll="0">
      <items count="6">
        <item x="1"/>
        <item x="3"/>
        <item x="2"/>
        <item x="0"/>
        <item x="4"/>
        <item t="default"/>
      </items>
    </pivotField>
    <pivotField showAll="0">
      <items count="13">
        <item x="10"/>
        <item x="9"/>
        <item x="8"/>
        <item x="7"/>
        <item x="6"/>
        <item x="5"/>
        <item x="4"/>
        <item x="3"/>
        <item x="2"/>
        <item x="1"/>
        <item x="0"/>
        <item x="11"/>
        <item t="default"/>
      </items>
    </pivotField>
    <pivotField showAll="0"/>
    <pivotField showAll="0">
      <items count="5">
        <item x="2"/>
        <item x="0"/>
        <item x="1"/>
        <item x="3"/>
        <item t="default"/>
      </items>
    </pivotField>
    <pivotField dataField="1" showAll="0"/>
    <pivotField showAll="0"/>
    <pivotField showAll="0"/>
    <pivotField showAll="0"/>
  </pivotFields>
  <rowFields count="1">
    <field x="0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Soma de quantidade" fld="4" baseField="0" baseItem="0"/>
  </dataFields>
  <chartFormats count="1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dateBetween" evalOrder="-1" id="14" name="data">
      <autoFilter ref="A1">
        <filterColumn colId="0">
          <customFilters and="1">
            <customFilter operator="greaterThanOrEqual" val="42005"/>
            <customFilter operator="lessThanOrEqual" val="42369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02E6AF5-21BF-41E3-A257-630C402769E7}" name="Tabela dinâmica1" cacheId="11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5">
  <location ref="A3:C5" firstHeaderRow="0" firstDataRow="1" firstDataCol="1"/>
  <pivotFields count="8">
    <pivotField showAll="0">
      <items count="5">
        <item h="1" x="1"/>
        <item h="1" x="3"/>
        <item x="2"/>
        <item h="1" x="0"/>
        <item t="default"/>
      </items>
    </pivotField>
    <pivotField numFmtId="14" showAll="0">
      <items count="12"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showAll="0">
      <items count="5">
        <item x="2"/>
        <item x="3"/>
        <item x="0"/>
        <item x="1"/>
        <item t="default"/>
      </items>
    </pivotField>
    <pivotField axis="axisRow" showAll="0">
      <items count="4">
        <item h="1" x="2"/>
        <item h="1" x="0"/>
        <item x="1"/>
        <item t="default"/>
      </items>
    </pivotField>
    <pivotField dataField="1" showAll="0">
      <items count="8">
        <item x="4"/>
        <item x="1"/>
        <item x="5"/>
        <item x="0"/>
        <item x="6"/>
        <item x="3"/>
        <item x="2"/>
        <item t="default"/>
      </items>
    </pivotField>
    <pivotField dataField="1" showAll="0"/>
    <pivotField numFmtId="44" showAll="0">
      <items count="8">
        <item x="4"/>
        <item x="1"/>
        <item x="5"/>
        <item x="0"/>
        <item x="6"/>
        <item x="3"/>
        <item x="2"/>
        <item t="default"/>
      </items>
    </pivotField>
    <pivotField showAll="0">
      <items count="9">
        <item x="1"/>
        <item x="5"/>
        <item x="3"/>
        <item x="4"/>
        <item x="6"/>
        <item x="2"/>
        <item x="0"/>
        <item x="7"/>
        <item t="default"/>
      </items>
    </pivotField>
  </pivotFields>
  <rowFields count="1">
    <field x="3"/>
  </rowFields>
  <rowItems count="2">
    <i>
      <x v="2"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quantidade" fld="4" baseField="0" baseItem="0"/>
    <dataField name="Soma de reprovadas" fld="5" baseField="0" baseItem="0"/>
  </dataFields>
  <chartFormats count="2">
    <chartFormat chart="4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produto" xr10:uid="{EBB6F326-10EB-45D7-BD0E-780BF63357C8}" sourceName="produto">
  <pivotTables>
    <pivotTable tabId="2" name="Tabela dinâmica1"/>
  </pivotTables>
  <data>
    <tabular pivotCacheId="1643154965">
      <items count="3">
        <i x="2"/>
        <i x="0"/>
        <i x="1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produto" xr10:uid="{FE52B761-9CDE-43D2-9F0A-AE97CE2E463A}" cache="SegmentaçãodeDados_produto" caption="produto" rowHeight="241300"/>
</slicer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a" xr10:uid="{9424D412-2D9A-4E41-8D88-049831CC7EE0}" sourceName="data">
  <pivotTables>
    <pivotTable tabId="2" name="Tabela dinâmica5"/>
  </pivotTables>
  <state minimalRefreshVersion="6" lastRefreshVersion="6" pivotCacheId="517482516" filterType="dateBetween">
    <selection startDate="2015-01-01T00:00:00" endDate="2015-12-31T00:00:00"/>
    <bounds startDate="2015-01-01T00:00:00" endDate="201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a" xr10:uid="{D324C902-C147-426B-9B2B-8089E85AD4EE}" cache="NativeTimeline_data" caption="data" level="2" selectionLevel="0" scrollPosition="2015-01-01T00:00:00"/>
</timeline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microsoft.com/office/2011/relationships/timeline" Target="../timelines/timeline1.xml"/><Relationship Id="rId4" Type="http://schemas.microsoft.com/office/2007/relationships/slicer" Target="../slicers/slicer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B9EF32-D16E-4279-9C29-9CD5257AE5D8}">
  <sheetPr codeName="Planilha1"/>
  <dimension ref="A3:C36"/>
  <sheetViews>
    <sheetView topLeftCell="A4" zoomScale="115" zoomScaleNormal="115" workbookViewId="0">
      <selection activeCell="B11" sqref="B11"/>
    </sheetView>
  </sheetViews>
  <sheetFormatPr defaultRowHeight="15" x14ac:dyDescent="0.25"/>
  <cols>
    <col min="1" max="1" width="18" bestFit="1" customWidth="1"/>
    <col min="2" max="2" width="19.42578125" bestFit="1" customWidth="1"/>
    <col min="3" max="3" width="19.28515625" bestFit="1" customWidth="1"/>
    <col min="4" max="4" width="21.140625" bestFit="1" customWidth="1"/>
    <col min="5" max="6" width="2" bestFit="1" customWidth="1"/>
    <col min="7" max="8" width="3" bestFit="1" customWidth="1"/>
    <col min="9" max="9" width="10.7109375" bestFit="1" customWidth="1"/>
    <col min="10" max="13" width="9.5703125" bestFit="1" customWidth="1"/>
    <col min="14" max="15" width="10.5703125" bestFit="1" customWidth="1"/>
    <col min="16" max="16" width="19.140625" bestFit="1" customWidth="1"/>
    <col min="17" max="20" width="9.5703125" bestFit="1" customWidth="1"/>
    <col min="21" max="22" width="10.5703125" bestFit="1" customWidth="1"/>
    <col min="23" max="23" width="26.28515625" bestFit="1" customWidth="1"/>
    <col min="24" max="24" width="24.42578125" bestFit="1" customWidth="1"/>
    <col min="25" max="25" width="24.140625" bestFit="1" customWidth="1"/>
  </cols>
  <sheetData>
    <row r="3" spans="1:3" x14ac:dyDescent="0.25">
      <c r="A3" s="11" t="s">
        <v>22</v>
      </c>
      <c r="B3" t="s">
        <v>24</v>
      </c>
      <c r="C3" t="s">
        <v>25</v>
      </c>
    </row>
    <row r="4" spans="1:3" x14ac:dyDescent="0.25">
      <c r="A4" s="12" t="s">
        <v>18</v>
      </c>
      <c r="B4" s="10">
        <v>27</v>
      </c>
      <c r="C4" s="10">
        <v>8</v>
      </c>
    </row>
    <row r="5" spans="1:3" x14ac:dyDescent="0.25">
      <c r="A5" s="12" t="s">
        <v>23</v>
      </c>
      <c r="B5" s="10">
        <v>27</v>
      </c>
      <c r="C5" s="10">
        <v>8</v>
      </c>
    </row>
    <row r="9" spans="1:3" x14ac:dyDescent="0.25">
      <c r="A9" s="11" t="s">
        <v>22</v>
      </c>
      <c r="B9" t="s">
        <v>24</v>
      </c>
    </row>
    <row r="10" spans="1:3" x14ac:dyDescent="0.25">
      <c r="A10" s="12" t="s">
        <v>15</v>
      </c>
      <c r="B10" s="10">
        <v>10</v>
      </c>
    </row>
    <row r="11" spans="1:3" x14ac:dyDescent="0.25">
      <c r="A11" s="12" t="s">
        <v>16</v>
      </c>
      <c r="B11" s="10">
        <v>22</v>
      </c>
    </row>
    <row r="12" spans="1:3" x14ac:dyDescent="0.25">
      <c r="A12" s="12" t="s">
        <v>9</v>
      </c>
      <c r="B12" s="10">
        <v>17</v>
      </c>
    </row>
    <row r="13" spans="1:3" x14ac:dyDescent="0.25">
      <c r="A13" s="12" t="s">
        <v>14</v>
      </c>
      <c r="B13" s="10">
        <v>16</v>
      </c>
    </row>
    <row r="14" spans="1:3" x14ac:dyDescent="0.25">
      <c r="A14" s="12" t="s">
        <v>23</v>
      </c>
      <c r="B14" s="10">
        <v>65</v>
      </c>
    </row>
    <row r="36" ht="13.5" customHeight="1" x14ac:dyDescent="0.25"/>
  </sheetData>
  <pageMargins left="0.511811024" right="0.511811024" top="0.78740157499999996" bottom="0.78740157499999996" header="0.31496062000000002" footer="0.31496062000000002"/>
  <drawing r:id="rId3"/>
  <extLst>
    <ext xmlns:x14="http://schemas.microsoft.com/office/spreadsheetml/2009/9/main" uri="{A8765BA9-456A-4dab-B4F3-ACF838C121DE}">
      <x14:slicerList>
        <x14:slicer r:id="rId4"/>
      </x14:slicerList>
    </ext>
    <ext xmlns:x15="http://schemas.microsoft.com/office/spreadsheetml/2010/11/main" uri="{7E03D99C-DC04-49d9-9315-930204A7B6E9}">
      <x15:timelineRefs>
        <x15:timelineRef r:id="rId5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2"/>
  <dimension ref="A2:Q1048576"/>
  <sheetViews>
    <sheetView tabSelected="1" workbookViewId="0">
      <selection activeCell="J4" sqref="J4"/>
    </sheetView>
  </sheetViews>
  <sheetFormatPr defaultRowHeight="15" x14ac:dyDescent="0.25"/>
  <cols>
    <col min="1" max="1" width="11" bestFit="1" customWidth="1"/>
    <col min="2" max="2" width="10.7109375" bestFit="1" customWidth="1"/>
    <col min="3" max="3" width="10.85546875" bestFit="1" customWidth="1"/>
    <col min="4" max="4" width="12.7109375" bestFit="1" customWidth="1"/>
    <col min="5" max="5" width="15.7109375" bestFit="1" customWidth="1"/>
    <col min="6" max="6" width="15.42578125" bestFit="1" customWidth="1"/>
    <col min="7" max="7" width="10.5703125" bestFit="1" customWidth="1"/>
    <col min="8" max="8" width="17.42578125" bestFit="1" customWidth="1"/>
    <col min="10" max="10" width="9.85546875" bestFit="1" customWidth="1"/>
    <col min="11" max="11" width="10.7109375" bestFit="1" customWidth="1"/>
    <col min="12" max="12" width="11.140625" bestFit="1" customWidth="1"/>
    <col min="14" max="14" width="11.140625" bestFit="1" customWidth="1"/>
    <col min="15" max="15" width="10.85546875" bestFit="1" customWidth="1"/>
    <col min="16" max="16" width="10.5703125" bestFit="1" customWidth="1"/>
    <col min="17" max="17" width="12.85546875" bestFit="1" customWidth="1"/>
  </cols>
  <sheetData>
    <row r="2" spans="1:17" x14ac:dyDescent="0.25">
      <c r="A2" s="5" t="s">
        <v>3</v>
      </c>
      <c r="B2" s="6"/>
      <c r="C2" s="6"/>
      <c r="D2" s="6"/>
      <c r="E2" s="6"/>
      <c r="F2" s="6"/>
      <c r="G2" s="6"/>
      <c r="H2" s="7"/>
      <c r="J2" t="s">
        <v>26</v>
      </c>
    </row>
    <row r="3" spans="1:17" x14ac:dyDescent="0.25">
      <c r="A3" s="2" t="s">
        <v>1</v>
      </c>
      <c r="B3" s="2" t="s">
        <v>0</v>
      </c>
      <c r="C3" s="2" t="s">
        <v>2</v>
      </c>
      <c r="D3" s="2" t="s">
        <v>7</v>
      </c>
      <c r="E3" s="2" t="s">
        <v>4</v>
      </c>
      <c r="F3" s="2" t="s">
        <v>5</v>
      </c>
      <c r="G3" s="2" t="s">
        <v>6</v>
      </c>
      <c r="H3" s="2" t="s">
        <v>21</v>
      </c>
      <c r="J3" s="2" t="s">
        <v>1</v>
      </c>
      <c r="K3" s="2" t="s">
        <v>0</v>
      </c>
      <c r="L3" s="2" t="s">
        <v>2</v>
      </c>
      <c r="M3" s="2" t="s">
        <v>7</v>
      </c>
      <c r="N3" s="2" t="s">
        <v>4</v>
      </c>
      <c r="O3" s="2" t="s">
        <v>5</v>
      </c>
      <c r="P3" s="2" t="s">
        <v>6</v>
      </c>
      <c r="Q3" s="2" t="s">
        <v>21</v>
      </c>
    </row>
    <row r="4" spans="1:17" x14ac:dyDescent="0.25">
      <c r="A4" s="2" t="s">
        <v>14</v>
      </c>
      <c r="B4" s="3">
        <v>42055</v>
      </c>
      <c r="C4" s="2" t="s">
        <v>12</v>
      </c>
      <c r="D4" s="2" t="s">
        <v>19</v>
      </c>
      <c r="E4" s="2">
        <v>6</v>
      </c>
      <c r="F4" s="2">
        <v>0</v>
      </c>
      <c r="G4" s="8">
        <f>$E4*$C$17</f>
        <v>60</v>
      </c>
      <c r="H4" s="8">
        <f>($E4-$F4)*$C$18-$G4</f>
        <v>30</v>
      </c>
      <c r="J4" t="s">
        <v>31</v>
      </c>
    </row>
    <row r="5" spans="1:17" x14ac:dyDescent="0.25">
      <c r="A5" s="2" t="s">
        <v>15</v>
      </c>
      <c r="B5" s="3">
        <v>42054</v>
      </c>
      <c r="C5" s="2" t="s">
        <v>12</v>
      </c>
      <c r="D5" s="2" t="s">
        <v>18</v>
      </c>
      <c r="E5" s="2">
        <v>6</v>
      </c>
      <c r="F5" s="2">
        <v>5</v>
      </c>
      <c r="G5" s="8">
        <f>$E5*$C$17</f>
        <v>60</v>
      </c>
      <c r="H5" s="9">
        <f>($E5-$F5)*$C$18-$G5</f>
        <v>-45</v>
      </c>
    </row>
    <row r="6" spans="1:17" x14ac:dyDescent="0.25">
      <c r="A6" s="2" t="s">
        <v>9</v>
      </c>
      <c r="B6" s="3">
        <v>42053</v>
      </c>
      <c r="C6" s="2" t="s">
        <v>13</v>
      </c>
      <c r="D6" s="2" t="s">
        <v>32</v>
      </c>
      <c r="E6" s="2">
        <v>3</v>
      </c>
      <c r="F6" s="2">
        <v>0</v>
      </c>
      <c r="G6" s="8">
        <f>$E6*$C$17</f>
        <v>30</v>
      </c>
      <c r="H6" s="8">
        <f>($E6-$F6)*$C$18-$G6</f>
        <v>15</v>
      </c>
    </row>
    <row r="7" spans="1:17" x14ac:dyDescent="0.25">
      <c r="A7" s="2" t="s">
        <v>16</v>
      </c>
      <c r="B7" s="3">
        <v>42052</v>
      </c>
      <c r="C7" s="2" t="s">
        <v>12</v>
      </c>
      <c r="D7" s="2" t="s">
        <v>19</v>
      </c>
      <c r="E7" s="2">
        <v>12</v>
      </c>
      <c r="F7" s="2">
        <v>4</v>
      </c>
      <c r="G7" s="8">
        <f>$E7*$C$17</f>
        <v>120</v>
      </c>
      <c r="H7" s="8">
        <f>($E7-$F7)*$C$18-$G7</f>
        <v>0</v>
      </c>
    </row>
    <row r="8" spans="1:17" x14ac:dyDescent="0.25">
      <c r="A8" s="2" t="s">
        <v>16</v>
      </c>
      <c r="B8" s="3">
        <v>42051</v>
      </c>
      <c r="C8" s="2" t="s">
        <v>11</v>
      </c>
      <c r="D8" s="2" t="s">
        <v>18</v>
      </c>
      <c r="E8" s="2">
        <v>10</v>
      </c>
      <c r="F8" s="2">
        <v>3</v>
      </c>
      <c r="G8" s="8">
        <f>$E8*$C$17</f>
        <v>100</v>
      </c>
      <c r="H8" s="8">
        <f>($E8-$F8)*$C$18-$G8</f>
        <v>5</v>
      </c>
    </row>
    <row r="9" spans="1:17" x14ac:dyDescent="0.25">
      <c r="A9" s="2" t="s">
        <v>15</v>
      </c>
      <c r="B9" s="3">
        <v>42050</v>
      </c>
      <c r="C9" s="2" t="s">
        <v>13</v>
      </c>
      <c r="D9" s="2" t="s">
        <v>19</v>
      </c>
      <c r="E9" s="2">
        <v>1</v>
      </c>
      <c r="F9" s="2">
        <v>0</v>
      </c>
      <c r="G9" s="8">
        <f>$E9*$C$17</f>
        <v>10</v>
      </c>
      <c r="H9" s="8">
        <f>($E9-$F9)*$C$18-$G9</f>
        <v>5</v>
      </c>
    </row>
    <row r="10" spans="1:17" x14ac:dyDescent="0.25">
      <c r="A10" s="2" t="s">
        <v>15</v>
      </c>
      <c r="B10" s="3">
        <v>42049</v>
      </c>
      <c r="C10" s="2" t="s">
        <v>10</v>
      </c>
      <c r="D10" s="2" t="s">
        <v>17</v>
      </c>
      <c r="E10" s="2">
        <v>3</v>
      </c>
      <c r="F10" s="2">
        <v>2</v>
      </c>
      <c r="G10" s="8">
        <f>$E10*$C$17</f>
        <v>30</v>
      </c>
      <c r="H10" s="8">
        <f>($E10-$F10)*$C$18-$G10</f>
        <v>-15</v>
      </c>
    </row>
    <row r="11" spans="1:17" x14ac:dyDescent="0.25">
      <c r="A11" s="2" t="s">
        <v>14</v>
      </c>
      <c r="B11" s="3">
        <v>42048</v>
      </c>
      <c r="C11" s="2" t="s">
        <v>13</v>
      </c>
      <c r="D11" s="2" t="s">
        <v>19</v>
      </c>
      <c r="E11" s="2">
        <v>5</v>
      </c>
      <c r="F11" s="2">
        <v>1</v>
      </c>
      <c r="G11" s="8">
        <f>$E11*$C$17</f>
        <v>50</v>
      </c>
      <c r="H11" s="8">
        <f>($E11-$F11)*$C$18-$G11</f>
        <v>10</v>
      </c>
    </row>
    <row r="12" spans="1:17" x14ac:dyDescent="0.25">
      <c r="A12" s="2" t="s">
        <v>14</v>
      </c>
      <c r="B12" s="3">
        <v>42047</v>
      </c>
      <c r="C12" s="2" t="s">
        <v>12</v>
      </c>
      <c r="D12" s="2" t="s">
        <v>19</v>
      </c>
      <c r="E12" s="2">
        <v>5</v>
      </c>
      <c r="F12" s="2">
        <v>1</v>
      </c>
      <c r="G12" s="8">
        <f>$E12*$C$17</f>
        <v>50</v>
      </c>
      <c r="H12" s="8">
        <f>($E12-$F12)*$C$18-$G12</f>
        <v>10</v>
      </c>
    </row>
    <row r="13" spans="1:17" x14ac:dyDescent="0.25">
      <c r="A13" s="2" t="s">
        <v>9</v>
      </c>
      <c r="B13" s="3">
        <v>42046</v>
      </c>
      <c r="C13" s="2" t="s">
        <v>11</v>
      </c>
      <c r="D13" s="2" t="s">
        <v>18</v>
      </c>
      <c r="E13" s="2">
        <v>8</v>
      </c>
      <c r="F13" s="2">
        <v>0</v>
      </c>
      <c r="G13" s="8">
        <f>$E13*$C$17</f>
        <v>80</v>
      </c>
      <c r="H13" s="8">
        <f>($E13-$F13)*$C$18-$G13</f>
        <v>40</v>
      </c>
      <c r="J13" t="s">
        <v>27</v>
      </c>
    </row>
    <row r="14" spans="1:17" x14ac:dyDescent="0.25">
      <c r="A14" s="2" t="s">
        <v>9</v>
      </c>
      <c r="B14" s="3">
        <v>42045</v>
      </c>
      <c r="C14" s="2" t="s">
        <v>10</v>
      </c>
      <c r="D14" s="2" t="s">
        <v>17</v>
      </c>
      <c r="E14" s="2">
        <v>6</v>
      </c>
      <c r="F14" s="2">
        <v>1</v>
      </c>
      <c r="G14" s="8">
        <f>$E14*$C$17</f>
        <v>60</v>
      </c>
      <c r="H14" s="8">
        <f>($E14-$F14)*$C$18-$G14</f>
        <v>15</v>
      </c>
      <c r="J14" s="2" t="s">
        <v>1</v>
      </c>
      <c r="K14" s="2" t="s">
        <v>0</v>
      </c>
      <c r="L14" s="2" t="s">
        <v>2</v>
      </c>
      <c r="M14" s="2" t="s">
        <v>7</v>
      </c>
      <c r="N14" s="2" t="s">
        <v>4</v>
      </c>
      <c r="O14" s="2" t="s">
        <v>5</v>
      </c>
      <c r="P14" s="2" t="s">
        <v>6</v>
      </c>
      <c r="Q14" s="2" t="s">
        <v>21</v>
      </c>
    </row>
    <row r="15" spans="1:17" x14ac:dyDescent="0.25">
      <c r="J15" s="2" t="s">
        <v>9</v>
      </c>
      <c r="K15" s="3">
        <v>42053</v>
      </c>
      <c r="L15" s="2" t="s">
        <v>13</v>
      </c>
      <c r="M15" s="2" t="s">
        <v>18</v>
      </c>
      <c r="N15" s="2">
        <v>3</v>
      </c>
      <c r="O15" s="2">
        <v>0</v>
      </c>
      <c r="P15" s="8">
        <v>30</v>
      </c>
      <c r="Q15" s="8">
        <v>15</v>
      </c>
    </row>
    <row r="16" spans="1:17" x14ac:dyDescent="0.25">
      <c r="J16" s="2" t="s">
        <v>9</v>
      </c>
      <c r="K16" s="3">
        <v>42046</v>
      </c>
      <c r="L16" s="2" t="s">
        <v>11</v>
      </c>
      <c r="M16" s="2" t="s">
        <v>18</v>
      </c>
      <c r="N16" s="2">
        <v>8</v>
      </c>
      <c r="O16" s="2">
        <v>0</v>
      </c>
      <c r="P16" s="8">
        <v>80</v>
      </c>
      <c r="Q16" s="8">
        <v>40</v>
      </c>
    </row>
    <row r="17" spans="1:17" x14ac:dyDescent="0.25">
      <c r="A17" s="4" t="s">
        <v>8</v>
      </c>
      <c r="B17" s="4"/>
      <c r="C17" s="1">
        <v>10</v>
      </c>
      <c r="J17" s="2" t="s">
        <v>9</v>
      </c>
      <c r="K17" s="3">
        <v>42045</v>
      </c>
      <c r="L17" s="2" t="s">
        <v>10</v>
      </c>
      <c r="M17" s="2" t="s">
        <v>17</v>
      </c>
      <c r="N17" s="2">
        <v>6</v>
      </c>
      <c r="O17" s="2">
        <v>1</v>
      </c>
      <c r="P17" s="8">
        <v>60</v>
      </c>
      <c r="Q17" s="8">
        <v>15</v>
      </c>
    </row>
    <row r="18" spans="1:17" x14ac:dyDescent="0.25">
      <c r="A18" s="4" t="s">
        <v>20</v>
      </c>
      <c r="B18" s="4"/>
      <c r="C18" s="1">
        <v>15</v>
      </c>
      <c r="J18" s="2"/>
      <c r="K18" s="3"/>
      <c r="L18" s="2"/>
      <c r="M18" s="2"/>
      <c r="N18" s="2"/>
      <c r="O18" s="2"/>
      <c r="P18" s="8"/>
      <c r="Q18" s="8"/>
    </row>
    <row r="19" spans="1:17" x14ac:dyDescent="0.25">
      <c r="J19" s="2"/>
      <c r="K19" s="3"/>
      <c r="L19" s="2"/>
      <c r="M19" s="2"/>
      <c r="N19" s="2"/>
      <c r="O19" s="2"/>
      <c r="P19" s="8"/>
      <c r="Q19" s="8"/>
    </row>
    <row r="20" spans="1:17" x14ac:dyDescent="0.25">
      <c r="J20" s="2"/>
      <c r="K20" s="3"/>
      <c r="L20" s="2"/>
      <c r="M20" s="2"/>
      <c r="N20" s="2"/>
      <c r="O20" s="2"/>
      <c r="P20" s="8"/>
      <c r="Q20" s="8"/>
    </row>
    <row r="21" spans="1:17" x14ac:dyDescent="0.25">
      <c r="J21" s="2"/>
      <c r="K21" s="3"/>
      <c r="L21" s="2"/>
      <c r="M21" s="2"/>
      <c r="N21" s="2"/>
      <c r="O21" s="2"/>
      <c r="P21" s="8"/>
      <c r="Q21" s="8"/>
    </row>
    <row r="22" spans="1:17" x14ac:dyDescent="0.25">
      <c r="J22" s="2"/>
      <c r="K22" s="3"/>
      <c r="L22" s="2"/>
      <c r="M22" s="2"/>
      <c r="N22" s="2"/>
      <c r="O22" s="2"/>
      <c r="P22" s="8"/>
      <c r="Q22" s="8"/>
    </row>
    <row r="23" spans="1:17" x14ac:dyDescent="0.25">
      <c r="J23" s="2"/>
      <c r="K23" s="3"/>
      <c r="L23" s="2"/>
      <c r="M23" s="2"/>
      <c r="N23" s="2"/>
      <c r="O23" s="2"/>
      <c r="P23" s="8"/>
      <c r="Q23" s="8"/>
    </row>
    <row r="24" spans="1:17" x14ac:dyDescent="0.25">
      <c r="J24" s="2"/>
      <c r="K24" s="3"/>
      <c r="L24" s="2"/>
      <c r="M24" s="2"/>
      <c r="N24" s="2"/>
      <c r="O24" s="2"/>
      <c r="P24" s="8"/>
      <c r="Q24" s="8"/>
    </row>
    <row r="25" spans="1:17" x14ac:dyDescent="0.25">
      <c r="J25" s="2"/>
      <c r="K25" s="3"/>
      <c r="L25" s="2"/>
      <c r="M25" s="2"/>
      <c r="N25" s="2"/>
      <c r="O25" s="2"/>
      <c r="P25" s="8"/>
      <c r="Q25" s="8"/>
    </row>
    <row r="1048506" spans="3:3" x14ac:dyDescent="0.25">
      <c r="C1048506" t="s">
        <v>30</v>
      </c>
    </row>
    <row r="1048541" spans="2:2" x14ac:dyDescent="0.25">
      <c r="B1048541" t="s">
        <v>29</v>
      </c>
    </row>
    <row r="1048542" spans="2:2" x14ac:dyDescent="0.25">
      <c r="B1048542">
        <f>+C1048543</f>
        <v>0</v>
      </c>
    </row>
    <row r="1048543" spans="2:2" x14ac:dyDescent="0.25">
      <c r="B1048543">
        <f>+B1048505</f>
        <v>0</v>
      </c>
    </row>
    <row r="1048544" spans="2:2" x14ac:dyDescent="0.25">
      <c r="B1048544" t="s">
        <v>29</v>
      </c>
    </row>
    <row r="1048576" spans="2:2" x14ac:dyDescent="0.25">
      <c r="B1048576" t="s">
        <v>28</v>
      </c>
    </row>
  </sheetData>
  <sortState ref="A4:H14">
    <sortCondition descending="1" ref="B4:B14"/>
    <sortCondition ref="A4:A14"/>
  </sortState>
  <conditionalFormatting sqref="A4:H14">
    <cfRule type="expression" dxfId="2" priority="1">
      <formula>$H4&gt;0</formula>
    </cfRule>
    <cfRule type="expression" dxfId="1" priority="2">
      <formula>$H4=0</formula>
    </cfRule>
    <cfRule type="expression" dxfId="0" priority="3">
      <formula>$H4&lt;0</formula>
    </cfRule>
  </conditionalFormatting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2</vt:i4>
      </vt:variant>
    </vt:vector>
  </HeadingPairs>
  <TitlesOfParts>
    <vt:vector size="4" baseType="lpstr">
      <vt:lpstr>Planilha1</vt:lpstr>
      <vt:lpstr>Plan1</vt:lpstr>
      <vt:lpstr>Plan1!Area_de_extracao</vt:lpstr>
      <vt:lpstr>Plan1!Criterios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Marcos Araujo</dc:creator>
  <cp:lastModifiedBy>LAB</cp:lastModifiedBy>
  <dcterms:created xsi:type="dcterms:W3CDTF">2015-02-27T17:37:01Z</dcterms:created>
  <dcterms:modified xsi:type="dcterms:W3CDTF">2023-03-13T19:28:32Z</dcterms:modified>
</cp:coreProperties>
</file>